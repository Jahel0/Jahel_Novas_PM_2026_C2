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étodo Mosl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<sst xmlns="http://schemas.openxmlformats.org/spreadsheetml/2006/main" count="51" uniqueCount="47">
  <si>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MÉTODO MOSLER - EVALUACIÓN DE RIESGOS</t>
  </si>
  <si>
    <t xml:space="preserve">Fórmulas de Evaluación</t>
  </si>
  <si>
    <t xml:space="preserve">Criterio / Indicador</t>
  </si>
  <si>
    <t xml:space="preserve">Sigla</t>
  </si>
  <si>
    <t xml:space="preserve">Fórmula</t>
  </si>
  <si>
    <t xml:space="preserve">Descripción</t>
  </si>
  <si>
    <t xml:space="preserve">Importancia del Daño</t>
  </si>
  <si>
    <t xml:space="preserve">I</t>
  </si>
  <si>
    <t xml:space="preserve">F × S × P × E</t>
  </si>
  <si>
    <t xml:space="preserve">Multiplica Función, Sustitución, Profundidad y Extensión</t>
  </si>
  <si>
    <t xml:space="preserve">Pendiente de Riesgo</t>
  </si>
  <si>
    <t xml:space="preserve">PR</t>
  </si>
  <si>
    <t xml:space="preserve">A × V</t>
  </si>
  <si>
    <t xml:space="preserve">Multiplica Agresión por Vulnerabilidad</t>
  </si>
  <si>
    <t xml:space="preserve">Grado de Riesgo</t>
  </si>
  <si>
    <t xml:space="preserve">GR</t>
  </si>
  <si>
    <t xml:space="preserve">I × PR</t>
  </si>
  <si>
    <t xml:space="preserve">Resultado final de la evaluación del riesgo</t>
  </si>
  <si>
    <t xml:space="preserve">Clasificación del Riesgo</t>
  </si>
  <si>
    <t xml:space="preserve">Rango mínimo</t>
  </si>
  <si>
    <t xml:space="preserve">Rango máximo</t>
  </si>
  <si>
    <t xml:space="preserve">Nivel de Riesgo</t>
  </si>
  <si>
    <t xml:space="preserve">Interpretación</t>
  </si>
  <si>
    <t xml:space="preserve">MUY BAJO</t>
  </si>
  <si>
    <t xml:space="preserve">Riesgo mínimo / aceptable</t>
  </si>
  <si>
    <t xml:space="preserve">BAJO</t>
  </si>
  <si>
    <t xml:space="preserve">Riesgo bajo / monitoreo</t>
  </si>
  <si>
    <t xml:space="preserve">MEDIO</t>
  </si>
  <si>
    <t xml:space="preserve">Requiere medidas de control</t>
  </si>
  <si>
    <t xml:space="preserve">ALTO</t>
  </si>
  <si>
    <t xml:space="preserve">Requiere medidas a corto plazo</t>
  </si>
  <si>
    <t xml:space="preserve">En adelante</t>
  </si>
  <si>
    <t xml:space="preserve">MUY ALTO / CRÍTICO</t>
  </si>
  <si>
    <t xml:space="preserve">Requiere contramedidas inmediatas</t>
  </si>
  <si>
    <t xml:space="preserve">Tabla de Evaluación de Riesgos</t>
  </si>
  <si>
    <t xml:space="preserve">Nombre del Riesgo</t>
  </si>
  <si>
    <t xml:space="preserve">F</t>
  </si>
  <si>
    <t xml:space="preserve">S</t>
  </si>
  <si>
    <t xml:space="preserve">P</t>
  </si>
  <si>
    <t xml:space="preserve">E</t>
  </si>
  <si>
    <t xml:space="preserve">A</t>
  </si>
  <si>
    <t xml:space="preserve">V</t>
  </si>
  <si>
    <t xml:space="preserve">Nivel Final</t>
  </si>
  <si>
    <t xml:space="preserve">Fuga de agua en red</t>
  </si>
  <si>
    <t xml:space="preserve">Gotera sobre el rack de comunicaciones</t>
  </si>
  <si>
    <t xml:space="preserve">Fallo aire recepción</t>
  </si>
  <si>
    <t xml:space="preserve">Avería en unidad de aire de la entrada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</si>
</sst>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8" min="3" style="0" width="10"/>
    <col collapsed="false" customWidth="true" hidden="false" outlineLevel="0" max="11" min="9" style="0" width="14"/>
    <col collapsed="false" customWidth="true" hidden="false" outlineLevel="0" max="12" min="12" style="0" width="22"/>
    <col collapsed="false" customWidth="true" hidden="false" outlineLevel="0" max="13" min="13" style="0" width="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4" hidden="false" customHeight="true" outlineLevel="0" collapsed="false">
      <c r="A3" s="3" t="s">
        <v>1</v>
      </c>
      <c r="B3" s="3"/>
      <c r="C3" s="3"/>
      <c r="D3" s="3"/>
      <c r="E3" s="2"/>
      <c r="F3" s="2"/>
      <c r="G3" s="2"/>
      <c r="H3" s="2"/>
      <c r="I3" s="2"/>
      <c r="J3" s="2"/>
      <c r="K3" s="2"/>
      <c r="L3" s="2"/>
    </row>
    <row r="4" customFormat="false" ht="28.3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/>
      <c r="F4" s="2"/>
      <c r="G4" s="2"/>
      <c r="H4" s="2"/>
      <c r="I4" s="2"/>
      <c r="J4" s="2"/>
      <c r="K4" s="2"/>
      <c r="L4" s="2"/>
    </row>
    <row r="5" customFormat="false" ht="95.5" hidden="false" customHeight="false" outlineLevel="0" collapsed="false">
      <c r="A5" s="5" t="s">
        <v>6</v>
      </c>
      <c r="B5" s="6" t="s">
        <v>7</v>
      </c>
      <c r="C5" s="6" t="s">
        <v>8</v>
      </c>
      <c r="D5" s="6" t="s">
        <v>9</v>
      </c>
      <c r="E5" s="5"/>
      <c r="F5" s="2"/>
      <c r="G5" s="2"/>
      <c r="H5" s="2"/>
      <c r="I5" s="2"/>
      <c r="J5" s="2"/>
      <c r="K5" s="2"/>
      <c r="L5" s="2"/>
    </row>
    <row r="6" customFormat="false" ht="68.65" hidden="false" customHeight="false" outlineLevel="0" collapsed="false">
      <c r="A6" s="5" t="s">
        <v>10</v>
      </c>
      <c r="B6" s="6" t="s">
        <v>11</v>
      </c>
      <c r="C6" s="6" t="s">
        <v>12</v>
      </c>
      <c r="D6" s="6" t="s">
        <v>13</v>
      </c>
      <c r="E6" s="5"/>
      <c r="F6" s="2"/>
      <c r="G6" s="2"/>
      <c r="H6" s="2"/>
      <c r="I6" s="2"/>
      <c r="J6" s="2"/>
      <c r="K6" s="2"/>
      <c r="L6" s="2"/>
    </row>
    <row r="7" customFormat="false" ht="55.2" hidden="false" customHeight="false" outlineLevel="0" collapsed="false">
      <c r="A7" s="5" t="s">
        <v>14</v>
      </c>
      <c r="B7" s="6" t="s">
        <v>15</v>
      </c>
      <c r="C7" s="6" t="s">
        <v>16</v>
      </c>
      <c r="D7" s="6" t="s">
        <v>17</v>
      </c>
      <c r="E7" s="5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5"/>
      <c r="B8" s="6"/>
      <c r="C8" s="6"/>
      <c r="D8" s="6"/>
      <c r="E8" s="5"/>
      <c r="F8" s="2"/>
      <c r="G8" s="2"/>
      <c r="H8" s="2"/>
      <c r="I8" s="2"/>
      <c r="J8" s="2"/>
      <c r="K8" s="2"/>
      <c r="L8" s="2"/>
    </row>
    <row r="9" customFormat="false" ht="24" hidden="false" customHeight="true" outlineLevel="0" collapsed="false">
      <c r="A9" s="7" t="s">
        <v>18</v>
      </c>
      <c r="B9" s="7"/>
      <c r="C9" s="7"/>
      <c r="D9" s="7"/>
      <c r="E9" s="2"/>
      <c r="F9" s="2"/>
      <c r="G9" s="2"/>
      <c r="H9" s="2"/>
      <c r="I9" s="2"/>
      <c r="J9" s="2"/>
      <c r="K9" s="2"/>
      <c r="L9" s="2"/>
    </row>
    <row r="10" customFormat="false" ht="28.35" hidden="false" customHeight="false" outlineLevel="0" collapsed="false">
      <c r="A10" s="4" t="s">
        <v>19</v>
      </c>
      <c r="B10" s="4" t="s">
        <v>20</v>
      </c>
      <c r="C10" s="4" t="s">
        <v>21</v>
      </c>
      <c r="D10" s="4" t="s">
        <v>22</v>
      </c>
      <c r="E10" s="2"/>
      <c r="F10" s="2"/>
      <c r="G10" s="2"/>
      <c r="H10" s="2"/>
      <c r="I10" s="2"/>
      <c r="J10" s="2"/>
      <c r="K10" s="2"/>
      <c r="L10" s="2"/>
    </row>
    <row r="11" customFormat="false" ht="41.75" hidden="false" customHeight="false" outlineLevel="0" collapsed="false">
      <c r="A11" s="6" t="n">
        <v>1</v>
      </c>
      <c r="B11" s="6" t="n">
        <v>100</v>
      </c>
      <c r="C11" s="8" t="s">
        <v>23</v>
      </c>
      <c r="D11" s="5" t="s">
        <v>24</v>
      </c>
      <c r="E11" s="2"/>
      <c r="F11" s="2"/>
      <c r="G11" s="2"/>
      <c r="H11" s="2"/>
      <c r="I11" s="2"/>
      <c r="J11" s="2"/>
      <c r="K11" s="2"/>
      <c r="L11" s="2"/>
    </row>
    <row r="12" customFormat="false" ht="41.75" hidden="false" customHeight="false" outlineLevel="0" collapsed="false">
      <c r="A12" s="6" t="n">
        <v>101</v>
      </c>
      <c r="B12" s="6" t="n">
        <v>500</v>
      </c>
      <c r="C12" s="8" t="s">
        <v>25</v>
      </c>
      <c r="D12" s="5" t="s">
        <v>26</v>
      </c>
      <c r="E12" s="2"/>
      <c r="F12" s="2"/>
      <c r="G12" s="2"/>
      <c r="H12" s="2"/>
      <c r="I12" s="2"/>
      <c r="J12" s="2"/>
      <c r="K12" s="2"/>
      <c r="L12" s="2"/>
    </row>
    <row r="13" customFormat="false" ht="41.75" hidden="false" customHeight="false" outlineLevel="0" collapsed="false">
      <c r="A13" s="6" t="n">
        <v>501</v>
      </c>
      <c r="B13" s="6" t="n">
        <v>1000</v>
      </c>
      <c r="C13" s="8" t="s">
        <v>27</v>
      </c>
      <c r="D13" s="5" t="s">
        <v>28</v>
      </c>
      <c r="E13" s="2"/>
      <c r="F13" s="2"/>
      <c r="G13" s="2"/>
      <c r="H13" s="2"/>
      <c r="I13" s="2"/>
      <c r="J13" s="2"/>
      <c r="K13" s="2"/>
      <c r="L13" s="2"/>
    </row>
    <row r="14" customFormat="false" ht="55.2" hidden="false" customHeight="false" outlineLevel="0" collapsed="false">
      <c r="A14" s="6" t="n">
        <v>1001</v>
      </c>
      <c r="B14" s="6" t="n">
        <v>2000</v>
      </c>
      <c r="C14" s="8" t="s">
        <v>29</v>
      </c>
      <c r="D14" s="5" t="s">
        <v>30</v>
      </c>
      <c r="E14" s="2"/>
      <c r="F14" s="2"/>
      <c r="G14" s="2"/>
      <c r="H14" s="2"/>
      <c r="I14" s="2"/>
      <c r="J14" s="2"/>
      <c r="K14" s="2"/>
      <c r="L14" s="2"/>
    </row>
    <row r="15" customFormat="false" ht="55.2" hidden="false" customHeight="false" outlineLevel="0" collapsed="false">
      <c r="A15" s="6" t="n">
        <v>2001</v>
      </c>
      <c r="B15" s="6" t="s">
        <v>31</v>
      </c>
      <c r="C15" s="8" t="s">
        <v>32</v>
      </c>
      <c r="D15" s="5" t="s">
        <v>33</v>
      </c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6"/>
      <c r="B16" s="6"/>
      <c r="C16" s="8"/>
      <c r="D16" s="5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6"/>
      <c r="B17" s="6"/>
      <c r="C17" s="8"/>
      <c r="D17" s="5"/>
      <c r="E17" s="2"/>
      <c r="F17" s="2"/>
      <c r="G17" s="2"/>
      <c r="H17" s="2"/>
      <c r="I17" s="2"/>
      <c r="J17" s="2"/>
      <c r="K17" s="2"/>
      <c r="L17" s="2"/>
    </row>
    <row r="18" customFormat="false" ht="24" hidden="false" customHeight="true" outlineLevel="0" collapsed="false">
      <c r="A18" s="3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4" t="s">
        <v>35</v>
      </c>
      <c r="B19" s="4" t="s">
        <v>5</v>
      </c>
      <c r="C19" s="4" t="s">
        <v>36</v>
      </c>
      <c r="D19" s="4" t="s">
        <v>37</v>
      </c>
      <c r="E19" s="4" t="s">
        <v>38</v>
      </c>
      <c r="F19" s="4" t="s">
        <v>39</v>
      </c>
      <c r="G19" s="4" t="s">
        <v>40</v>
      </c>
      <c r="H19" s="4" t="s">
        <v>41</v>
      </c>
      <c r="I19" s="4" t="s">
        <v>7</v>
      </c>
      <c r="J19" s="4" t="s">
        <v>11</v>
      </c>
      <c r="K19" s="4" t="s">
        <v>15</v>
      </c>
      <c r="L19" s="4" t="s">
        <v>42</v>
      </c>
    </row>
    <row r="20" customFormat="false" ht="36" hidden="false" customHeight="true" outlineLevel="0" collapsed="false">
      <c r="A20" s="5" t="s">
        <v>43</v>
      </c>
      <c r="B20" s="5" t="s">
        <v>44</v>
      </c>
      <c r="C20" s="6" t="n">
        <v>5</v>
      </c>
      <c r="D20" s="6" t="n">
        <v>4</v>
      </c>
      <c r="E20" s="6" t="n">
        <v>3</v>
      </c>
      <c r="F20" s="6" t="n">
        <v>4</v>
      </c>
      <c r="G20" s="6" t="n">
        <v>3</v>
      </c>
      <c r="H20" s="6" t="n">
        <v>4</v>
      </c>
      <c r="I20" s="6" t="n">
        <f aca="false">C20*D20*E20*F20</f>
        <v>240</v>
      </c>
      <c r="J20" s="6" t="n">
        <f aca="false">G20*H20</f>
        <v>12</v>
      </c>
      <c r="K20" s="8" t="n">
        <f aca="false">I20*J20</f>
        <v>2880</v>
      </c>
      <c r="L20" s="8" t="str">
        <f aca="false">IF(K20&lt;=100,"MUY BAJO",IF(K20&lt;=500,"BAJO",IF(K20&lt;=1000,"MEDIO",IF(K20&lt;=2000,"ALTO","MUY ALTO / CRÍTICO"))))</f>
        <v>MUY ALTO / CRÍTICO</v>
      </c>
    </row>
    <row r="21" customFormat="false" ht="36" hidden="false" customHeight="true" outlineLevel="0" collapsed="false">
      <c r="A21" s="5" t="s">
        <v>45</v>
      </c>
      <c r="B21" s="5" t="s">
        <v>46</v>
      </c>
      <c r="C21" s="6" t="n">
        <v>2</v>
      </c>
      <c r="D21" s="6" t="n">
        <v>2</v>
      </c>
      <c r="E21" s="6" t="n">
        <v>2</v>
      </c>
      <c r="F21" s="6" t="n">
        <v>1</v>
      </c>
      <c r="G21" s="6" t="n">
        <v>3</v>
      </c>
      <c r="H21" s="6" t="n">
        <v>2</v>
      </c>
      <c r="I21" s="6" t="n">
        <f aca="false">C21*D21*E21*F21</f>
        <v>8</v>
      </c>
      <c r="J21" s="6" t="n">
        <f aca="false">G21*H21</f>
        <v>6</v>
      </c>
      <c r="K21" s="8" t="n">
        <f aca="false">I21*J21</f>
        <v>48</v>
      </c>
      <c r="L21" s="8" t="str">
        <f aca="false">IF(K21&lt;=100,"MUY BAJO",IF(K21&lt;=500,"BAJO",IF(K21&lt;=1000,"MEDIO",IF(K21&lt;=2000,"ALTO","MUY ALTO / CRÍTICO"))))</f>
        <v>MUY BAJO</v>
      </c>
      <c r="M21" s="9"/>
    </row>
    <row r="22" customFormat="false" ht="15" hidden="false" customHeight="false" outlineLevel="0" collapsed="false">
      <c r="A22" s="10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2"/>
      <c r="M22" s="12"/>
    </row>
    <row r="23" customFormat="false" ht="15" hidden="false" customHeight="false" outlineLevel="0" collapsed="false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2"/>
      <c r="M23" s="12"/>
    </row>
    <row r="24" customFormat="false" ht="15" hidden="false" customHeight="false" outlineLevel="0" collapsed="false">
      <c r="A24" s="10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2"/>
      <c r="M24" s="12"/>
    </row>
    <row r="25" customFormat="false" ht="15" hidden="false" customHeight="false" outlineLevel="0" collapsed="false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2"/>
    </row>
  </sheetData>
  <mergeCells count="4">
    <mergeCell ref="A1:L1"/>
    <mergeCell ref="A3:D3"/>
    <mergeCell ref="A9:D9"/>
    <mergeCell ref="A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2026-08-14T23:49:57Z</dcterms:created>
  <dc:creator>openpyxl</dc:creator>
  <dc:description/>
  <dc:language>en-US</dc:language>
  <cp:lastModifiedBy>Yinell Abigail Echavarria Lorenzo</cp:lastModifiedBy>
  <dcterms:modified xsi:type="dcterms:W3CDTF">2026-08-21T01:52:43Z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